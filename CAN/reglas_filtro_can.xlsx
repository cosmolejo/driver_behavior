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las filtro CAN" sheetId="1" state="visible" r:id="rId1"/>
  </sheets>
  <definedNames>
    <definedName name="_xlnm._FilterDatabase" localSheetId="0" hidden="1">'Reglas filtro CAN'!$A$4:$J$12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595959"/>
      <sz val="10"/>
    </font>
    <font>
      <name val="Arial"/>
      <b val="1"/>
      <color rgb="00FFFFFF"/>
      <sz val="10"/>
    </font>
    <font>
      <name val="Arial"/>
      <b val="1"/>
      <sz val="10"/>
    </font>
    <font>
      <name val="Arial"/>
      <sz val="10"/>
    </font>
    <font>
      <name val="Arial"/>
      <b val="1"/>
      <color rgb="001F3864"/>
      <sz val="11"/>
    </font>
  </fonts>
  <fills count="8">
    <fill>
      <patternFill/>
    </fill>
    <fill>
      <patternFill patternType="gray125"/>
    </fill>
    <fill>
      <patternFill patternType="solid">
        <fgColor rgb="001F3864"/>
      </patternFill>
    </fill>
    <fill>
      <patternFill patternType="solid">
        <fgColor rgb="00FCE4E4"/>
      </patternFill>
    </fill>
    <fill>
      <patternFill patternType="solid">
        <fgColor rgb="00FFFF00"/>
      </patternFill>
    </fill>
    <fill>
      <patternFill patternType="solid">
        <fgColor rgb="00FFF2CC"/>
      </patternFill>
    </fill>
    <fill>
      <patternFill patternType="solid">
        <fgColor rgb="00E2EFD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0" fillId="3" borderId="1" pivotButton="0" quotePrefix="0" xfId="0"/>
    <xf numFmtId="0" fontId="5" fillId="0" borderId="0" applyAlignment="1" pivotButton="0" quotePrefix="0" xfId="0">
      <alignment horizontal="left" vertical="center"/>
    </xf>
    <xf numFmtId="0" fontId="0" fillId="5" borderId="1" pivotButton="0" quotePrefix="0" xfId="0"/>
    <xf numFmtId="0" fontId="0" fillId="6" borderId="1" pivotButton="0" quotePrefix="0" xfId="0"/>
    <xf numFmtId="0" fontId="0" fillId="7"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8"/>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14" customWidth="1" min="3" max="3"/>
    <col width="9" customWidth="1" min="4" max="4"/>
    <col width="26" customWidth="1" min="5" max="5"/>
    <col width="46" customWidth="1" min="6" max="6"/>
    <col width="20" customWidth="1" min="7" max="7"/>
    <col width="11" customWidth="1" min="8" max="8"/>
    <col width="11" customWidth="1" min="9" max="9"/>
    <col width="13" customWidth="1" min="10" max="10"/>
  </cols>
  <sheetData>
    <row r="1">
      <c r="A1" s="1" t="inlineStr">
        <is>
          <t>Filtro de contexto CAN — reglas de supresión de alertas</t>
        </is>
      </c>
    </row>
    <row r="2">
      <c r="A2" s="2" t="inlineStr">
        <is>
          <t>Sistema de detección de distracción del conductor · clases: safe_driving, phone, reaching</t>
        </is>
      </c>
    </row>
    <row r="4" ht="28" customHeight="1">
      <c r="A4" s="3" t="inlineStr">
        <is>
          <t>#</t>
        </is>
      </c>
      <c r="B4" s="3" t="inlineStr">
        <is>
          <t>Trama</t>
        </is>
      </c>
      <c r="C4" s="3" t="inlineStr">
        <is>
          <t>ID</t>
        </is>
      </c>
      <c r="D4" s="3" t="inlineStr">
        <is>
          <t>Ciclo</t>
        </is>
      </c>
      <c r="E4" s="3" t="inlineStr">
        <is>
          <t>Señal</t>
        </is>
      </c>
      <c r="F4" s="3" t="inlineStr">
        <is>
          <t>Condición</t>
        </is>
      </c>
      <c r="G4" s="3" t="inlineStr">
        <is>
          <t>Parámetro</t>
        </is>
      </c>
      <c r="H4" s="3" t="inlineStr">
        <is>
          <t>phone</t>
        </is>
      </c>
      <c r="I4" s="3" t="inlineStr">
        <is>
          <t>reaching</t>
        </is>
      </c>
      <c r="J4" s="3" t="inlineStr">
        <is>
          <t>Origen del parámetro</t>
        </is>
      </c>
    </row>
    <row r="5" ht="44" customHeight="1">
      <c r="A5" s="4" t="inlineStr">
        <is>
          <t>G1a</t>
        </is>
      </c>
      <c r="B5" s="5" t="inlineStr">
        <is>
          <t>BRAKE_FE3</t>
        </is>
      </c>
      <c r="C5" s="6" t="inlineStr">
        <is>
          <t>0x146</t>
        </is>
      </c>
      <c r="D5" s="6" t="inlineStr">
        <is>
          <t>20 ms</t>
        </is>
      </c>
      <c r="E5" s="5" t="inlineStr">
        <is>
          <t>VehicleSpeedVSOSig</t>
        </is>
      </c>
      <c r="F5" s="5" t="inlineStr">
        <is>
          <t>V &lt; V_off tras haber estado en marcha; se rearma solo con V &gt; V_on (histéresis)</t>
        </is>
      </c>
      <c r="G5" s="7" t="inlineStr">
        <is>
          <t>V_on = 5 km/h
V_off = 3 km/h</t>
        </is>
      </c>
      <c r="H5" s="6" t="inlineStr">
        <is>
          <t>Suprime</t>
        </is>
      </c>
      <c r="I5" s="6" t="inlineStr">
        <is>
          <t>Suprime</t>
        </is>
      </c>
      <c r="J5" s="6" t="inlineStr">
        <is>
          <t>Diseño</t>
        </is>
      </c>
    </row>
    <row r="6" ht="44" customHeight="1">
      <c r="A6" s="4" t="inlineStr">
        <is>
          <t>G1b</t>
        </is>
      </c>
      <c r="B6" s="5" t="inlineStr">
        <is>
          <t>BRAKE_FE3</t>
        </is>
      </c>
      <c r="C6" s="6" t="inlineStr">
        <is>
          <t>0x146</t>
        </is>
      </c>
      <c r="D6" s="6" t="inlineStr">
        <is>
          <t>20 ms</t>
        </is>
      </c>
      <c r="E6" s="5" t="inlineStr">
        <is>
          <t>VehicleSpeedVSOSigFailSts</t>
        </is>
      </c>
      <c r="F6" s="5">
        <f> 1 (fallo declarado por la ECU)</f>
        <v/>
      </c>
      <c r="G6" s="5" t="inlineStr">
        <is>
          <t>—</t>
        </is>
      </c>
      <c r="H6" s="6" t="inlineStr">
        <is>
          <t>Suprime</t>
        </is>
      </c>
      <c r="I6" s="6" t="inlineStr">
        <is>
          <t>Suprime</t>
        </is>
      </c>
      <c r="J6" s="6" t="inlineStr">
        <is>
          <t>DBC</t>
        </is>
      </c>
    </row>
    <row r="7" ht="44" customHeight="1">
      <c r="A7" s="4" t="inlineStr">
        <is>
          <t>G1c</t>
        </is>
      </c>
      <c r="B7" s="5" t="inlineStr">
        <is>
          <t>BRAKE_FE3</t>
        </is>
      </c>
      <c r="C7" s="6" t="inlineStr">
        <is>
          <t>0x146</t>
        </is>
      </c>
      <c r="D7" s="6" t="inlineStr">
        <is>
          <t>20 ms</t>
        </is>
      </c>
      <c r="E7" s="5" t="inlineStr">
        <is>
          <t>(ausencia de trama)</t>
        </is>
      </c>
      <c r="F7" s="5" t="inlineStr">
        <is>
          <t>Sin recepción durante T_stale</t>
        </is>
      </c>
      <c r="G7" s="7" t="inlineStr">
        <is>
          <t>T_stale = 1 ventana
(0,5 s)</t>
        </is>
      </c>
      <c r="H7" s="6" t="inlineStr">
        <is>
          <t>Suprime</t>
        </is>
      </c>
      <c r="I7" s="6" t="inlineStr">
        <is>
          <t>Suprime</t>
        </is>
      </c>
      <c r="J7" s="6" t="inlineStr">
        <is>
          <t>Diseño</t>
        </is>
      </c>
    </row>
    <row r="8" ht="44" customHeight="1">
      <c r="A8" s="4" t="inlineStr">
        <is>
          <t>G2</t>
        </is>
      </c>
      <c r="B8" s="5" t="inlineStr">
        <is>
          <t>VEHSTAT</t>
        </is>
      </c>
      <c r="C8" s="6" t="inlineStr">
        <is>
          <t>0x520</t>
        </is>
      </c>
      <c r="D8" s="6" t="inlineStr">
        <is>
          <t>10 ms</t>
        </is>
      </c>
      <c r="E8" s="5" t="inlineStr">
        <is>
          <t>HazardLightSts</t>
        </is>
      </c>
      <c r="F8" s="5">
        <f> 1</f>
        <v/>
      </c>
      <c r="G8" s="5" t="inlineStr">
        <is>
          <t>—</t>
        </is>
      </c>
      <c r="H8" s="6" t="inlineStr">
        <is>
          <t>Suprime</t>
        </is>
      </c>
      <c r="I8" s="6" t="inlineStr">
        <is>
          <t>Suprime</t>
        </is>
      </c>
      <c r="J8" s="6" t="inlineStr">
        <is>
          <t>DBC</t>
        </is>
      </c>
    </row>
    <row r="9" ht="44" customHeight="1">
      <c r="A9" s="8" t="inlineStr">
        <is>
          <t>R1</t>
        </is>
      </c>
      <c r="B9" s="9" t="inlineStr">
        <is>
          <t>STATUS_B_CAN</t>
        </is>
      </c>
      <c r="C9" s="10" t="inlineStr">
        <is>
          <t>0x560</t>
        </is>
      </c>
      <c r="D9" s="10" t="inlineStr">
        <is>
          <t>100 ms</t>
        </is>
      </c>
      <c r="E9" s="9" t="inlineStr">
        <is>
          <t>ReverseGearBCSts</t>
        </is>
      </c>
      <c r="F9" s="9">
        <f> 1, más T_gracia desde el flanco de bajada</f>
        <v/>
      </c>
      <c r="G9" s="7" t="inlineStr">
        <is>
          <t>T_gracia = 3 ventanas
(1,5 s)</t>
        </is>
      </c>
      <c r="H9" s="10" t="inlineStr">
        <is>
          <t>Mantiene</t>
        </is>
      </c>
      <c r="I9" s="10" t="inlineStr">
        <is>
          <t>Suprime</t>
        </is>
      </c>
      <c r="J9" s="10" t="inlineStr">
        <is>
          <t>Diseño</t>
        </is>
      </c>
    </row>
    <row r="10" ht="44" customHeight="1">
      <c r="A10" s="8" t="inlineStr">
        <is>
          <t>R2</t>
        </is>
      </c>
      <c r="B10" s="9" t="inlineStr">
        <is>
          <t>VEHSTAT</t>
        </is>
      </c>
      <c r="C10" s="10" t="inlineStr">
        <is>
          <t>0x520</t>
        </is>
      </c>
      <c r="D10" s="10" t="inlineStr">
        <is>
          <t>10 ms</t>
        </is>
      </c>
      <c r="E10" s="9" t="inlineStr">
        <is>
          <t>TurnIndicatorSts_CCAN1</t>
        </is>
      </c>
      <c r="F10" s="9" t="inlineStr">
        <is>
          <t>∈ {1 Left, 2 Right}, más T_post desde el flanco de bajada.
3 (SNA) se trata como 0 (Center)</t>
        </is>
      </c>
      <c r="G10" s="7" t="inlineStr">
        <is>
          <t>T_post = 4 ventanas
(2,0 s)</t>
        </is>
      </c>
      <c r="H10" s="10" t="inlineStr">
        <is>
          <t>Mantiene</t>
        </is>
      </c>
      <c r="I10" s="10" t="inlineStr">
        <is>
          <t>Suprime</t>
        </is>
      </c>
      <c r="J10" s="10" t="inlineStr">
        <is>
          <t>Diseño</t>
        </is>
      </c>
    </row>
    <row r="11" ht="44" customHeight="1">
      <c r="A11" s="11" t="inlineStr">
        <is>
          <t>D</t>
        </is>
      </c>
      <c r="B11" s="12" t="inlineStr">
        <is>
          <t>—</t>
        </is>
      </c>
      <c r="C11" s="13" t="inlineStr">
        <is>
          <t>—</t>
        </is>
      </c>
      <c r="D11" s="13" t="inlineStr">
        <is>
          <t>—</t>
        </is>
      </c>
      <c r="E11" s="12" t="inlineStr">
        <is>
          <t>(salida del modelo)</t>
        </is>
      </c>
      <c r="F11" s="12" t="inlineStr">
        <is>
          <t>Misma clase detectada en N_dwell ventanas consecutivas no suprimidas</t>
        </is>
      </c>
      <c r="G11" s="7" t="inlineStr">
        <is>
          <t>N_dwell = 2 ventanas
(1,0 s)</t>
        </is>
      </c>
      <c r="H11" s="13" t="inlineStr">
        <is>
          <t>Habilita</t>
        </is>
      </c>
      <c r="I11" s="13" t="inlineStr">
        <is>
          <t>Habilita</t>
        </is>
      </c>
      <c r="J11" s="13" t="inlineStr">
        <is>
          <t>Diseño</t>
        </is>
      </c>
    </row>
    <row r="12" ht="44" customHeight="1">
      <c r="A12" s="14" t="inlineStr">
        <is>
          <t>—</t>
        </is>
      </c>
      <c r="B12" s="15" t="inlineStr">
        <is>
          <t>(contexto ausente)</t>
        </is>
      </c>
      <c r="C12" s="16" t="inlineStr">
        <is>
          <t>0x520 / 0x560</t>
        </is>
      </c>
      <c r="D12" s="16" t="inlineStr">
        <is>
          <t>—</t>
        </is>
      </c>
      <c r="E12" s="15" t="inlineStr">
        <is>
          <t>(ausencia de trama)</t>
        </is>
      </c>
      <c r="F12" s="15" t="inlineStr">
        <is>
          <t>Sin recepción durante T_stale</t>
        </is>
      </c>
      <c r="G12" s="7" t="inlineStr">
        <is>
          <t>FAIL_SAFE_CONTEXT
= False</t>
        </is>
      </c>
      <c r="H12" s="16" t="inlineStr">
        <is>
          <t>Mantiene</t>
        </is>
      </c>
      <c r="I12" s="16" t="inlineStr">
        <is>
          <t>Mantiene</t>
        </is>
      </c>
      <c r="J12" s="16" t="inlineStr">
        <is>
          <t>Diseño</t>
        </is>
      </c>
    </row>
    <row r="14">
      <c r="A14" s="17" t="inlineStr">
        <is>
          <t>Notas</t>
        </is>
      </c>
    </row>
    <row r="15" ht="30" customHeight="1">
      <c r="A15" s="18" t="inlineStr">
        <is>
          <t>Combinación</t>
        </is>
      </c>
      <c r="C15" s="19" t="inlineStr">
        <is>
          <t>alerta(c) = D(c) ∧ ¬G1 ∧ ¬G2 ∧ ¬R(c), donde R(phone) es siempre falso.</t>
        </is>
      </c>
    </row>
    <row r="16" ht="30" customHeight="1">
      <c r="A16" s="18" t="inlineStr">
        <is>
          <t>Unidad de evaluación</t>
        </is>
      </c>
      <c r="C16" s="19" t="inlineStr">
        <is>
          <t>Todas las condiciones se evalúan con OR sobre la ventana de inferencia de 0,5 s: basta con que una fuera cierta en algún instante de la ventana para suprimirla.</t>
        </is>
      </c>
    </row>
    <row r="17" ht="30" customHeight="1">
      <c r="A17" s="18" t="inlineStr">
        <is>
          <t>Ventana de inferencia</t>
        </is>
      </c>
      <c r="C17" s="19" t="inlineStr">
        <is>
          <t>0,5 s ≈ 15 frames a 30 fps. Es la latencia mínima del modelo y la resolución temporal real del sistema; por eso los parámetros se expresan en múltiplos enteros de ventana y no en milisegundos.</t>
        </is>
      </c>
    </row>
    <row r="18" ht="30" customHeight="1">
      <c r="A18" s="18" t="inlineStr">
        <is>
          <t>Alcance</t>
        </is>
      </c>
      <c r="C18" s="19" t="inlineStr">
        <is>
          <t>3 tramas, 5 señales CAN. Las reglas G suprimen ambos modelos; las R solo reaching. La regla D no consume CAN.</t>
        </is>
      </c>
    </row>
    <row r="19" ht="30" customHeight="1">
      <c r="A19" s="18" t="inlineStr">
        <is>
          <t>Asimetría</t>
        </is>
      </c>
      <c r="C19" s="19" t="inlineStr">
        <is>
          <t>Las reglas R no se aplican a phone porque existe contexto vehicular que legitima el giro de cabeza (aparcar, cambiar de carril) pero ninguno que legitime el uso del teléfono con el vehículo en marcha. Es una decisión de diseño, no una omisión.</t>
        </is>
      </c>
    </row>
    <row r="20" ht="30" customHeight="1">
      <c r="A20" s="18" t="inlineStr">
        <is>
          <t>Estado de los parámetros</t>
        </is>
      </c>
      <c r="C20" s="19" t="inlineStr">
        <is>
          <t>Los seis valores marcados en amarillo son decisiones de diseño sin calibrar. Ninguno procede del DBC. Validarlos requiere captura sincronizada vídeo+CAN, no disponible en DMD.</t>
        </is>
      </c>
    </row>
    <row r="21" ht="30" customHeight="1">
      <c r="A21" s="18" t="inlineStr">
        <is>
          <t>Efecto sobre el recall</t>
        </is>
      </c>
      <c r="C21" s="19" t="inlineStr">
        <is>
          <t>Toda regla de supresión reduce el recall y nunca lo aumenta. Conviene reportar las métricas del sistema antes y después del filtro por separado.</t>
        </is>
      </c>
    </row>
    <row r="23">
      <c r="A23" s="17" t="inlineStr">
        <is>
          <t>Leyenda de color</t>
        </is>
      </c>
    </row>
    <row r="24">
      <c r="A24" s="20" t="inlineStr"/>
      <c r="B24" s="21" t="inlineStr">
        <is>
          <t>Reglas G — suprimen ambos modelos</t>
        </is>
      </c>
    </row>
    <row r="25">
      <c r="A25" s="22" t="inlineStr"/>
      <c r="B25" s="21" t="inlineStr">
        <is>
          <t>Reglas R — suprimen solo reaching</t>
        </is>
      </c>
    </row>
    <row r="26">
      <c r="A26" s="23" t="inlineStr"/>
      <c r="B26" s="21" t="inlineStr">
        <is>
          <t>Regla D — sobre la salida del modelo, sin señal CAN</t>
        </is>
      </c>
    </row>
    <row r="27">
      <c r="A27" s="24" t="inlineStr"/>
      <c r="B27" s="21" t="inlineStr">
        <is>
          <t>Fila informativa — política declarada, no una regla</t>
        </is>
      </c>
    </row>
    <row r="28">
      <c r="A28" s="25" t="inlineStr"/>
      <c r="B28" s="21" t="inlineStr">
        <is>
          <t>Parámetro de diseño sin calibrar</t>
        </is>
      </c>
    </row>
  </sheetData>
  <autoFilter ref="A4:J12"/>
  <mergeCells count="21">
    <mergeCell ref="A15:B15"/>
    <mergeCell ref="C15:J15"/>
    <mergeCell ref="A16:B16"/>
    <mergeCell ref="C20:J20"/>
    <mergeCell ref="B28:J28"/>
    <mergeCell ref="C16:J16"/>
    <mergeCell ref="A18:B18"/>
    <mergeCell ref="B24:J24"/>
    <mergeCell ref="A1:J1"/>
    <mergeCell ref="A21:B21"/>
    <mergeCell ref="C21:J21"/>
    <mergeCell ref="B26:J26"/>
    <mergeCell ref="A17:B17"/>
    <mergeCell ref="C17:J17"/>
    <mergeCell ref="A20:B20"/>
    <mergeCell ref="B25:J25"/>
    <mergeCell ref="A19:B19"/>
    <mergeCell ref="B27:J27"/>
    <mergeCell ref="C19:J19"/>
    <mergeCell ref="A2:J2"/>
    <mergeCell ref="C18:J18"/>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2026-09-08T14:08:00Z</dcterms:created>
  <dcterms:modified xmlns:dcterms="http://purl.org/dc/terms/" xmlns:xsi="http://www.w3.org/2001/XMLSchema-instance" xsi:type="dcterms:W3CDTF">2026-09-08T14:08:00Z</dcterms:modified>
</cp:coreProperties>
</file>